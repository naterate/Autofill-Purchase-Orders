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kusiolek\Documents\Purchase Orders Project\"/>
    </mc:Choice>
  </mc:AlternateContent>
  <xr:revisionPtr revIDLastSave="0" documentId="13_ncr:1_{B16B5AA2-B0F1-4EB3-BBE5-FB7D70CCCD55}" xr6:coauthVersionLast="47" xr6:coauthVersionMax="47" xr10:uidLastSave="{00000000-0000-0000-0000-000000000000}"/>
  <bookViews>
    <workbookView xWindow="-120" yWindow="-120" windowWidth="29040" windowHeight="15720" xr2:uid="{2B91795D-B0BC-41FA-85CF-972CCBACED03}"/>
  </bookViews>
  <sheets>
    <sheet name="Purchase Order" sheetId="1" r:id="rId1"/>
    <sheet name="Item Database" sheetId="3" r:id="rId2"/>
  </sheets>
  <definedNames>
    <definedName name="_xlnm._FilterDatabase" localSheetId="1" hidden="1">'Item Database'!$A$1:$F$6</definedName>
    <definedName name="_xlnm.Print_Titles" localSheetId="0">'Purchase Order'!$1:$22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" i="1" l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J39" i="1" l="1"/>
  <c r="J38" i="1"/>
  <c r="J23" i="1"/>
  <c r="J30" i="1"/>
  <c r="J29" i="1"/>
  <c r="J28" i="1"/>
  <c r="J27" i="1"/>
  <c r="J26" i="1"/>
  <c r="J25" i="1"/>
  <c r="J37" i="1"/>
  <c r="J36" i="1"/>
  <c r="J35" i="1"/>
  <c r="J34" i="1"/>
  <c r="J33" i="1"/>
  <c r="J32" i="1"/>
  <c r="J31" i="1"/>
  <c r="J24" i="1"/>
  <c r="J40" i="1"/>
</calcChain>
</file>

<file path=xl/sharedStrings.xml><?xml version="1.0" encoding="utf-8"?>
<sst xmlns="http://schemas.openxmlformats.org/spreadsheetml/2006/main" count="158" uniqueCount="71">
  <si>
    <t>Custom</t>
  </si>
  <si>
    <t>Due</t>
  </si>
  <si>
    <t>Price Per</t>
  </si>
  <si>
    <t>Total</t>
  </si>
  <si>
    <t>Line</t>
  </si>
  <si>
    <t>VCBALSIME</t>
  </si>
  <si>
    <t>FREIGHT</t>
  </si>
  <si>
    <t>SALES TAX</t>
  </si>
  <si>
    <t>Name</t>
  </si>
  <si>
    <t>Aleta Chair, Metal Base</t>
  </si>
  <si>
    <t>Description</t>
  </si>
  <si>
    <t>MFG=VICCARBE
Upholstered seat and back, metal base
19.69"W x 21.26"D x 32.48"H. 19.69"SH
17.32" Base Width</t>
  </si>
  <si>
    <t>EA</t>
  </si>
  <si>
    <t>FD1-LNGCHR-XX</t>
  </si>
  <si>
    <t>Field Loung Chair</t>
  </si>
  <si>
    <t>MFG=BLU DOT
Upholstered with metal base
Inside: 29"W x 22'D
Outside: 36"W x 38"D x 36"H
18"SH</t>
  </si>
  <si>
    <t>STLPLTF1</t>
  </si>
  <si>
    <t>Umami Single Platform</t>
  </si>
  <si>
    <t>MFG=STEELCASE
Upholstered or laminate, metal base/legs
15"D x 30"W x 16.5"H</t>
  </si>
  <si>
    <t>Warranty: Limited Lifetime
Power: No Power
Laminate: Walnut Heights 2TH7
PVC Edge: Walnut Heights 6T07
Metal: 4144 Black Gloss</t>
  </si>
  <si>
    <t>216COALESSE</t>
  </si>
  <si>
    <t xml:space="preserve">Warranty: 5 Years
Seat: 
Back: 
Metal: </t>
  </si>
  <si>
    <t xml:space="preserve">Warranty: 5 Years
Seat: 
Back: 
Metal Base: </t>
  </si>
  <si>
    <t>Bob Chair</t>
  </si>
  <si>
    <t>MFG=COALESSE
Upholstered with metal base
34 1/4" D x 35" W x 31 3/4" H
Inside: 21 3/4" D x 20" W x 17 1/4" H
Seat: 17" H Arm: 21 3/4" H
Lounge Chair, Locked Base,
Black Polypropolene Glides</t>
  </si>
  <si>
    <t xml:space="preserve">Warranty: Limited Lifetime
Seat: 
Back: 
Metal Base: </t>
  </si>
  <si>
    <t>Item No.</t>
  </si>
  <si>
    <t>04/26/2019</t>
  </si>
  <si>
    <t>350 N. Orleans St. Suite 300, Chicago, IL 60654-1607   Phone: 312.960.5522</t>
  </si>
  <si>
    <t>SHIP TO:</t>
  </si>
  <si>
    <t>BILL TO:</t>
  </si>
  <si>
    <t>GROUP INC</t>
  </si>
  <si>
    <t>BENCHMARK CONTRACT</t>
  </si>
  <si>
    <t>FURNITURE</t>
  </si>
  <si>
    <t>456 OSCEOLA AVE</t>
  </si>
  <si>
    <t>JACKSONVILLE BEACH FL 32250</t>
  </si>
  <si>
    <t xml:space="preserve"> P.O. No.</t>
  </si>
  <si>
    <t xml:space="preserve"> Order Date</t>
  </si>
  <si>
    <r>
      <rPr>
        <b/>
        <sz val="14"/>
        <color theme="1"/>
        <rFont val="Aptos Narrow"/>
        <family val="2"/>
        <scheme val="minor"/>
      </rPr>
      <t>Supplier Attn</t>
    </r>
    <r>
      <rPr>
        <sz val="14"/>
        <color theme="1"/>
        <rFont val="Aptos Narrow"/>
        <family val="2"/>
        <scheme val="minor"/>
      </rPr>
      <t>: BENCHMARK DESIGN</t>
    </r>
  </si>
  <si>
    <r>
      <t>FOB</t>
    </r>
    <r>
      <rPr>
        <sz val="14"/>
        <color theme="1"/>
        <rFont val="Aptos Narrow"/>
        <family val="2"/>
        <scheme val="minor"/>
      </rPr>
      <t>:</t>
    </r>
  </si>
  <si>
    <r>
      <t>Ship Via</t>
    </r>
    <r>
      <rPr>
        <sz val="14"/>
        <color theme="1"/>
        <rFont val="Aptos Narrow"/>
        <family val="2"/>
        <scheme val="minor"/>
      </rPr>
      <t>:</t>
    </r>
  </si>
  <si>
    <r>
      <t>Terms</t>
    </r>
    <r>
      <rPr>
        <sz val="14"/>
        <color theme="1"/>
        <rFont val="Aptos Narrow"/>
        <family val="2"/>
        <scheme val="minor"/>
      </rPr>
      <t>:</t>
    </r>
  </si>
  <si>
    <r>
      <t>Note</t>
    </r>
    <r>
      <rPr>
        <sz val="14"/>
        <color theme="1"/>
        <rFont val="Aptos Narrow"/>
        <family val="2"/>
        <scheme val="minor"/>
      </rPr>
      <t>:</t>
    </r>
  </si>
  <si>
    <r>
      <t>Supplier Phone</t>
    </r>
    <r>
      <rPr>
        <sz val="14"/>
        <color theme="1"/>
        <rFont val="Aptos Narrow"/>
        <family val="2"/>
        <scheme val="minor"/>
      </rPr>
      <t>:</t>
    </r>
  </si>
  <si>
    <r>
      <t>Delivery Instructions</t>
    </r>
    <r>
      <rPr>
        <sz val="14"/>
        <color theme="1"/>
        <rFont val="Aptos Narrow"/>
        <family val="2"/>
        <scheme val="minor"/>
      </rPr>
      <t>:</t>
    </r>
  </si>
  <si>
    <r>
      <t>Supplier Fax</t>
    </r>
    <r>
      <rPr>
        <sz val="14"/>
        <color theme="1"/>
        <rFont val="Aptos Narrow"/>
        <family val="2"/>
        <scheme val="minor"/>
      </rPr>
      <t>:</t>
    </r>
  </si>
  <si>
    <t>Qty</t>
  </si>
  <si>
    <t>U/M</t>
  </si>
  <si>
    <t xml:space="preserve">  SoNo Newco, LLC</t>
  </si>
  <si>
    <t xml:space="preserve">  350 N. ORLEANS ST. SUITE 300</t>
  </si>
  <si>
    <t xml:space="preserve">  CHICAGO IL 60654-1607</t>
  </si>
  <si>
    <t xml:space="preserve">  SONO NEWCO, LLC</t>
  </si>
  <si>
    <t xml:space="preserve">         Attn:</t>
  </si>
  <si>
    <t xml:space="preserve">         Phone:</t>
  </si>
  <si>
    <t xml:space="preserve">     Delivery Instructions</t>
  </si>
  <si>
    <t xml:space="preserve">Warranty: 5 Years
Seat: Purple
Back: 
Metal: </t>
  </si>
  <si>
    <t>Freight</t>
  </si>
  <si>
    <t>Sales</t>
  </si>
  <si>
    <t xml:space="preserve">Color: </t>
  </si>
  <si>
    <t>MFG=DESIGN WITHIN REACH
Plastic construction
36"D x 26"H</t>
  </si>
  <si>
    <t>Spun Chair</t>
  </si>
  <si>
    <t>#chair,#indoor</t>
  </si>
  <si>
    <t>Fourniture</t>
  </si>
  <si>
    <t>Search Tags</t>
  </si>
  <si>
    <t>Category</t>
  </si>
  <si>
    <t>Unit/Measure</t>
  </si>
  <si>
    <t>Item Number</t>
  </si>
  <si>
    <t xml:space="preserve">Warranty: 5 Years
Seat: Blue
Back: 
Metal: </t>
  </si>
  <si>
    <t>14XXX OP</t>
  </si>
  <si>
    <t>904246XXXX</t>
  </si>
  <si>
    <t>Buyer's Name     2040XXX  Nathaniel Kusio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</si>
</sst>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vertical="top"/>
    </xf>
    <xf numFmtId="164" fontId="2" fillId="0" borderId="3" xfId="0" applyNumberFormat="1" applyFont="1" applyBorder="1" applyAlignment="1">
      <alignment vertical="top"/>
    </xf>
    <xf numFmtId="164" fontId="2" fillId="0" borderId="4" xfId="0" applyNumberFormat="1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8" xfId="0" applyFont="1" applyBorder="1" applyAlignment="1">
      <alignment vertical="top"/>
    </xf>
    <xf numFmtId="49" fontId="2" fillId="0" borderId="8" xfId="0" applyNumberFormat="1" applyFont="1" applyBorder="1" applyAlignment="1">
      <alignment vertical="top"/>
    </xf>
    <xf numFmtId="164" fontId="2" fillId="0" borderId="9" xfId="0" applyNumberFormat="1" applyFont="1" applyBorder="1" applyAlignment="1">
      <alignment vertical="top"/>
    </xf>
    <xf numFmtId="0" fontId="1" fillId="0" borderId="0" xfId="0" applyFont="1" applyAlignment="1">
      <alignment vertical="top"/>
    </xf>
    <xf numFmtId="164" fontId="2" fillId="0" borderId="0" xfId="0" applyNumberFormat="1" applyFont="1" applyAlignment="1">
      <alignment vertical="top"/>
    </xf>
    <xf numFmtId="0" fontId="1" fillId="0" borderId="0" xfId="0" applyFont="1" applyAlignment="1">
      <alignment horizontal="right" vertical="top"/>
    </xf>
    <xf numFmtId="0" fontId="2" fillId="0" borderId="0" xfId="0" applyFont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vertical="top" wrapText="1"/>
    </xf>
    <xf numFmtId="0" fontId="2" fillId="0" borderId="11" xfId="0" applyFont="1" applyBorder="1" applyAlignment="1">
      <alignment vertical="top"/>
    </xf>
    <xf numFmtId="14" fontId="2" fillId="0" borderId="11" xfId="0" applyNumberFormat="1" applyFont="1" applyBorder="1" applyAlignment="1">
      <alignment vertical="top"/>
    </xf>
    <xf numFmtId="0" fontId="2" fillId="0" borderId="11" xfId="0" applyFont="1" applyBorder="1" applyAlignment="1">
      <alignment horizontal="center" vertical="top"/>
    </xf>
    <xf numFmtId="0" fontId="2" fillId="0" borderId="1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/>
    </xf>
    <xf numFmtId="0" fontId="2" fillId="0" borderId="10" xfId="0" applyFont="1" applyBorder="1" applyAlignment="1">
      <alignment horizontal="left" vertical="top" wrapText="1"/>
    </xf>
    <xf numFmtId="14" fontId="2" fillId="0" borderId="11" xfId="0" applyNumberFormat="1" applyFont="1" applyBorder="1" applyAlignment="1">
      <alignment vertical="top" wrapText="1"/>
    </xf>
    <xf numFmtId="0" fontId="2" fillId="0" borderId="0" xfId="0" applyFont="1" applyAlignment="1">
      <alignment vertical="top" wrapText="1"/>
    </xf>
    <xf numFmtId="4" fontId="2" fillId="2" borderId="1" xfId="0" applyNumberFormat="1" applyFont="1" applyFill="1" applyBorder="1" applyAlignment="1">
      <alignment vertical="top"/>
    </xf>
    <xf numFmtId="4" fontId="2" fillId="0" borderId="12" xfId="0" applyNumberFormat="1" applyFont="1" applyBorder="1" applyAlignment="1">
      <alignment vertical="top"/>
    </xf>
    <xf numFmtId="4" fontId="2" fillId="0" borderId="12" xfId="0" applyNumberFormat="1" applyFont="1" applyBorder="1" applyAlignment="1">
      <alignment vertical="top" wrapText="1"/>
    </xf>
    <xf numFmtId="4" fontId="2" fillId="2" borderId="1" xfId="0" applyNumberFormat="1" applyFont="1" applyFill="1" applyBorder="1" applyAlignment="1">
      <alignment vertical="top" wrapText="1"/>
    </xf>
    <xf numFmtId="0" fontId="1" fillId="0" borderId="9" xfId="0" applyFont="1" applyBorder="1" applyAlignment="1">
      <alignment vertical="top"/>
    </xf>
    <xf numFmtId="4" fontId="1" fillId="2" borderId="1" xfId="0" applyNumberFormat="1" applyFont="1" applyFill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1" xfId="0" applyFont="1" applyBorder="1" applyAlignment="1">
      <alignment horizontal="center" vertical="top"/>
    </xf>
    <xf numFmtId="0" fontId="2" fillId="0" borderId="5" xfId="0" applyFont="1" applyBorder="1" applyAlignment="1">
      <alignment vertical="top"/>
    </xf>
    <xf numFmtId="0" fontId="2" fillId="0" borderId="0" xfId="0" applyFont="1" applyAlignment="1">
      <alignment vertical="top"/>
    </xf>
    <xf numFmtId="0" fontId="2" fillId="0" borderId="6" xfId="0" applyFont="1" applyBorder="1" applyAlignment="1">
      <alignment vertical="top"/>
    </xf>
    <xf numFmtId="0" fontId="1" fillId="0" borderId="6" xfId="0" applyFont="1" applyBorder="1" applyAlignment="1">
      <alignment vertical="top"/>
    </xf>
    <xf numFmtId="0" fontId="2" fillId="3" borderId="10" xfId="0" applyFont="1" applyFill="1" applyBorder="1" applyAlignment="1">
      <alignment horizontal="center" vertical="top"/>
    </xf>
    <xf numFmtId="0" fontId="2" fillId="3" borderId="11" xfId="0" applyFont="1" applyFill="1" applyBorder="1" applyAlignment="1">
      <alignment horizontal="center" vertical="top"/>
    </xf>
    <xf numFmtId="0" fontId="2" fillId="0" borderId="10" xfId="0" applyFont="1" applyBorder="1" applyAlignment="1">
      <alignment horizontal="right" vertical="top"/>
    </xf>
    <xf numFmtId="0" fontId="2" fillId="0" borderId="11" xfId="0" applyFont="1" applyBorder="1" applyAlignment="1">
      <alignment horizontal="right" vertical="top"/>
    </xf>
    <xf numFmtId="0" fontId="2" fillId="0" borderId="12" xfId="0" applyFont="1" applyBorder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3" fillId="0" borderId="0" xfId="0" applyFont="1"/>
    <xf numFmtId="0" fontId="2" fillId="0" borderId="1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1196975</xdr:colOff>
      <xdr:row>15</xdr:row>
      <xdr:rowOff>66675</xdr:rowOff>
    </xdr:from>
    <xdr:to>
      <xdr:col>4</xdr:col>
      <xdr:colOff>790575</xdr:colOff>
      <xdr:row>17</xdr:row>
      <xdr:rowOff>104775</xdr:rowOff>
    </xdr:to>
    <xdr:sp macro="[0]!AutoFillItem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A402C84-4F0E-FCD2-1488-705D6E614E83}"/>
            </a:ext>
          </a:extLst>
        </xdr:cNvPr>
        <xdr:cNvSpPr/>
      </xdr:nvSpPr>
      <xdr:spPr>
        <a:xfrm>
          <a:off x="4568825" y="3638550"/>
          <a:ext cx="1974850" cy="5143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to fill in Name, Description, Custom, and</a:t>
          </a:r>
          <a:r>
            <a:rPr lang="en-US" sz="1100" baseline="0"/>
            <a:t> U/M</a:t>
          </a:r>
        </a:p>
      </xdr:txBody>
    </xdr: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1</xdr:col>
      <xdr:colOff>987425</xdr:colOff>
      <xdr:row>2</xdr:row>
      <xdr:rowOff>207653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4453C3C-1FD4-49F7-8119-78B194C54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447800" cy="6521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1D1C1-77AC-4C97-B424-3331941C33FB}">
  <sheetPr codeName="Sheet1">
    <pageSetUpPr fitToPage="1"/>
  </sheetPr>
  <dimension ref="A1:J40"/>
  <sheetViews>
    <sheetView tabSelected="1" view="pageLayout" topLeftCell="A36" zoomScaleNormal="100" workbookViewId="0">
      <selection activeCell="J39" sqref="J39"/>
    </sheetView>
  </sheetViews>
  <sheetFormatPr defaultRowHeight="18.75" x14ac:dyDescent="0.25"/>
  <cols>
    <col min="1" max="1" width="7.140625" style="4" customWidth="1"/>
    <col min="2" max="2" width="19.7109375" style="4" customWidth="1"/>
    <col min="3" max="3" width="20.5703125" style="4" customWidth="1"/>
    <col min="4" max="4" width="33.28515625" style="4" customWidth="1"/>
    <col min="5" max="5" width="30.28515625" style="4" customWidth="1"/>
    <col min="6" max="6" width="16" style="4" customWidth="1"/>
    <col min="7" max="7" width="7.28515625" style="4" customWidth="1"/>
    <col min="8" max="8" width="14.42578125" style="4" customWidth="1"/>
    <col min="9" max="9" width="14.28515625" style="12" customWidth="1"/>
    <col min="10" max="10" width="18" style="12" bestFit="1" customWidth="1"/>
    <col min="11" max="16384" width="9.140625" style="4"/>
  </cols>
  <sheetData>
    <row r="1" spans="1:10" x14ac:dyDescent="0.25">
      <c r="G1" s="31" t="s">
        <v>36</v>
      </c>
      <c r="H1" s="32"/>
      <c r="I1" s="5" t="s">
        <v>68</v>
      </c>
      <c r="J1" s="6"/>
    </row>
    <row r="2" spans="1:10" x14ac:dyDescent="0.25">
      <c r="G2" s="33" t="s">
        <v>37</v>
      </c>
      <c r="H2" s="34"/>
      <c r="I2" s="9" t="s">
        <v>27</v>
      </c>
      <c r="J2" s="10"/>
    </row>
    <row r="5" spans="1:10" x14ac:dyDescent="0.25">
      <c r="A5" s="11" t="s">
        <v>28</v>
      </c>
    </row>
    <row r="6" spans="1:10" x14ac:dyDescent="0.25">
      <c r="A6" s="11"/>
    </row>
    <row r="7" spans="1:10" x14ac:dyDescent="0.25">
      <c r="D7" s="37" t="s">
        <v>29</v>
      </c>
      <c r="E7" s="37"/>
      <c r="F7" s="37" t="s">
        <v>30</v>
      </c>
      <c r="G7" s="37"/>
      <c r="H7" s="37"/>
      <c r="I7" s="37"/>
      <c r="J7" s="37"/>
    </row>
    <row r="8" spans="1:10" x14ac:dyDescent="0.25">
      <c r="D8" s="38" t="s">
        <v>48</v>
      </c>
      <c r="E8" s="40"/>
      <c r="F8" s="38" t="s">
        <v>51</v>
      </c>
      <c r="G8" s="39"/>
      <c r="H8" s="39"/>
      <c r="I8" s="39"/>
      <c r="J8" s="40"/>
    </row>
    <row r="9" spans="1:10" x14ac:dyDescent="0.25">
      <c r="D9" s="38" t="s">
        <v>49</v>
      </c>
      <c r="E9" s="40"/>
      <c r="F9" s="38" t="s">
        <v>49</v>
      </c>
      <c r="G9" s="39"/>
      <c r="H9" s="39"/>
      <c r="I9" s="39"/>
      <c r="J9" s="40"/>
    </row>
    <row r="10" spans="1:10" x14ac:dyDescent="0.25">
      <c r="D10" s="38" t="s">
        <v>50</v>
      </c>
      <c r="E10" s="40"/>
      <c r="F10" s="38" t="s">
        <v>50</v>
      </c>
      <c r="G10" s="39"/>
      <c r="H10" s="39"/>
      <c r="I10" s="39"/>
      <c r="J10" s="40"/>
    </row>
    <row r="11" spans="1:10" x14ac:dyDescent="0.25">
      <c r="A11" s="4" t="s">
        <v>38</v>
      </c>
      <c r="D11" s="38"/>
      <c r="E11" s="40"/>
      <c r="F11" s="38"/>
      <c r="G11" s="39"/>
      <c r="H11" s="39"/>
      <c r="I11" s="39"/>
      <c r="J11" s="40"/>
    </row>
    <row r="12" spans="1:10" x14ac:dyDescent="0.25">
      <c r="A12" s="4" t="s">
        <v>31</v>
      </c>
      <c r="D12" s="35" t="s">
        <v>52</v>
      </c>
      <c r="E12" s="41"/>
      <c r="F12" s="35" t="s">
        <v>52</v>
      </c>
      <c r="G12" s="36"/>
      <c r="H12" s="36"/>
      <c r="I12" s="36"/>
      <c r="J12" s="41"/>
    </row>
    <row r="13" spans="1:10" x14ac:dyDescent="0.25">
      <c r="B13" s="4" t="s">
        <v>32</v>
      </c>
      <c r="D13" s="35" t="s">
        <v>53</v>
      </c>
      <c r="E13" s="36"/>
      <c r="F13" s="35" t="s">
        <v>53</v>
      </c>
      <c r="G13" s="36"/>
      <c r="H13" s="36"/>
      <c r="I13" s="36"/>
      <c r="J13" s="41"/>
    </row>
    <row r="14" spans="1:10" x14ac:dyDescent="0.25">
      <c r="B14" s="4" t="s">
        <v>33</v>
      </c>
      <c r="D14" s="7"/>
      <c r="E14" s="8"/>
      <c r="F14" s="7"/>
      <c r="G14" s="8"/>
      <c r="H14" s="8"/>
      <c r="I14" s="8"/>
      <c r="J14" s="29"/>
    </row>
    <row r="15" spans="1:10" x14ac:dyDescent="0.25">
      <c r="B15" s="4" t="s">
        <v>34</v>
      </c>
    </row>
    <row r="16" spans="1:10" x14ac:dyDescent="0.25">
      <c r="B16" s="4" t="s">
        <v>35</v>
      </c>
      <c r="E16" s="13"/>
      <c r="F16" s="13" t="s">
        <v>39</v>
      </c>
      <c r="G16" s="47"/>
      <c r="H16" s="47"/>
    </row>
    <row r="17" spans="1:10" x14ac:dyDescent="0.25">
      <c r="E17" s="13"/>
      <c r="F17" s="13" t="s">
        <v>40</v>
      </c>
      <c r="G17" s="47"/>
      <c r="H17" s="47"/>
    </row>
    <row r="18" spans="1:10" x14ac:dyDescent="0.25">
      <c r="E18" s="13"/>
      <c r="F18" s="13" t="s">
        <v>41</v>
      </c>
      <c r="G18" s="47"/>
      <c r="H18" s="47"/>
    </row>
    <row r="19" spans="1:10" x14ac:dyDescent="0.25">
      <c r="B19" s="13" t="s">
        <v>42</v>
      </c>
      <c r="E19" s="13"/>
      <c r="F19" s="13" t="s">
        <v>43</v>
      </c>
      <c r="G19" s="47" t="s">
        <v>69</v>
      </c>
      <c r="H19" s="47"/>
    </row>
    <row r="20" spans="1:10" x14ac:dyDescent="0.25">
      <c r="B20" s="13" t="s">
        <v>44</v>
      </c>
      <c r="C20" s="14" t="s">
        <v>54</v>
      </c>
      <c r="E20" s="13"/>
      <c r="F20" s="13" t="s">
        <v>45</v>
      </c>
      <c r="G20" s="47" t="s">
        <v>69</v>
      </c>
      <c r="H20" s="47"/>
    </row>
    <row r="22" spans="1:10" s="11" customFormat="1" ht="28.35" customHeight="1" x14ac:dyDescent="0.25">
      <c r="A22" s="1" t="s">
        <v>4</v>
      </c>
      <c r="B22" s="1" t="s">
        <v>26</v>
      </c>
      <c r="C22" s="2" t="s">
        <v>8</v>
      </c>
      <c r="D22" s="1" t="s">
        <v>10</v>
      </c>
      <c r="E22" s="1" t="s">
        <v>0</v>
      </c>
      <c r="F22" s="1" t="s">
        <v>47</v>
      </c>
      <c r="G22" s="1" t="s">
        <v>46</v>
      </c>
      <c r="H22" s="1" t="s">
        <v>1</v>
      </c>
      <c r="I22" s="3" t="s">
        <v>2</v>
      </c>
      <c r="J22" s="3" t="s">
        <v>3</v>
      </c>
    </row>
    <row r="23" spans="1:10" ht="112.5" x14ac:dyDescent="0.25">
      <c r="A23" s="21">
        <f>ROW() - 22</f>
        <v>1</v>
      </c>
      <c r="B23" s="22" t="s">
        <v>5</v>
      </c>
      <c r="C23" s="16" t="s">
        <v>9</v>
      </c>
      <c r="D23" s="16" t="s">
        <v>11</v>
      </c>
      <c r="E23" s="16" t="s">
        <v>55</v>
      </c>
      <c r="F23" s="20" t="s">
        <v>12</v>
      </c>
      <c r="G23" s="16">
        <v>8</v>
      </c>
      <c r="H23" s="18">
        <v>45661</v>
      </c>
      <c r="I23" s="26">
        <v>775.85</v>
      </c>
      <c r="J23" s="25">
        <f>G23*I23</f>
        <v>6206.8</v>
      </c>
    </row>
    <row r="24" spans="1:10" ht="112.5" x14ac:dyDescent="0.25">
      <c r="A24" s="21">
        <f>ROW() - 22</f>
        <v>2</v>
      </c>
      <c r="B24" s="15" t="s">
        <v>5</v>
      </c>
      <c r="C24" s="16" t="s">
        <v>9</v>
      </c>
      <c r="D24" s="16" t="s">
        <v>11</v>
      </c>
      <c r="E24" s="16" t="s">
        <v>67</v>
      </c>
      <c r="F24" s="19" t="s">
        <v>12</v>
      </c>
      <c r="G24" s="17">
        <v>16</v>
      </c>
      <c r="H24" s="18">
        <v>45661</v>
      </c>
      <c r="I24" s="26">
        <v>587.04999999999995</v>
      </c>
      <c r="J24" s="25">
        <f>G24*I24</f>
        <v>9392.7999999999993</v>
      </c>
    </row>
    <row r="25" spans="1:10" ht="93.75" x14ac:dyDescent="0.25">
      <c r="A25" s="21">
        <f>ROW() - 22</f>
        <v>3</v>
      </c>
      <c r="B25" s="15" t="s">
        <v>13</v>
      </c>
      <c r="C25" s="16" t="s">
        <v>14</v>
      </c>
      <c r="D25" s="16" t="s">
        <v>15</v>
      </c>
      <c r="E25" s="16" t="s">
        <v>22</v>
      </c>
      <c r="F25" s="19" t="s">
        <v>12</v>
      </c>
      <c r="G25" s="17">
        <v>39</v>
      </c>
      <c r="H25" s="18">
        <v>45661</v>
      </c>
      <c r="I25" s="26">
        <v>1519.6</v>
      </c>
      <c r="J25" s="25">
        <f t="shared" ref="J25:J30" si="0">G25*I25</f>
        <v>59264.399999999994</v>
      </c>
    </row>
    <row r="26" spans="1:10" ht="150" x14ac:dyDescent="0.25">
      <c r="A26" s="21">
        <f>ROW() - 22</f>
        <v>4</v>
      </c>
      <c r="B26" s="15" t="s">
        <v>16</v>
      </c>
      <c r="C26" s="16" t="s">
        <v>17</v>
      </c>
      <c r="D26" s="16" t="s">
        <v>18</v>
      </c>
      <c r="E26" s="16" t="s">
        <v>19</v>
      </c>
      <c r="F26" s="20" t="s">
        <v>12</v>
      </c>
      <c r="G26" s="17"/>
      <c r="H26" s="18"/>
      <c r="I26" s="26"/>
      <c r="J26" s="25">
        <f t="shared" si="0"/>
        <v>0</v>
      </c>
    </row>
    <row r="27" spans="1:10" s="24" customFormat="1" ht="168.75" x14ac:dyDescent="0.25">
      <c r="A27" s="21">
        <f>ROW() - 22</f>
        <v>5</v>
      </c>
      <c r="B27" s="22" t="s">
        <v>20</v>
      </c>
      <c r="C27" s="16" t="s">
        <v>23</v>
      </c>
      <c r="D27" s="16" t="s">
        <v>24</v>
      </c>
      <c r="E27" s="16" t="s">
        <v>25</v>
      </c>
      <c r="F27" s="20" t="s">
        <v>12</v>
      </c>
      <c r="G27" s="16"/>
      <c r="H27" s="23"/>
      <c r="I27" s="27"/>
      <c r="J27" s="28">
        <f t="shared" si="0"/>
        <v>0</v>
      </c>
    </row>
    <row r="28" spans="1:10" ht="93.75" x14ac:dyDescent="0.25">
      <c r="A28" s="21">
        <f>ROW() - 22</f>
        <v>6</v>
      </c>
      <c r="B28" s="15" t="s">
        <v>13</v>
      </c>
      <c r="C28" s="16" t="s">
        <v>14</v>
      </c>
      <c r="D28" s="16" t="s">
        <v>15</v>
      </c>
      <c r="E28" s="16" t="s">
        <v>22</v>
      </c>
      <c r="F28" s="20" t="s">
        <v>12</v>
      </c>
      <c r="G28" s="17"/>
      <c r="H28" s="18"/>
      <c r="I28" s="26"/>
      <c r="J28" s="25">
        <f t="shared" si="0"/>
        <v>0</v>
      </c>
    </row>
    <row r="29" spans="1:10" ht="112.5" x14ac:dyDescent="0.25">
      <c r="A29" s="21">
        <f>ROW() - 22</f>
        <v>7</v>
      </c>
      <c r="B29" s="15" t="s">
        <v>5</v>
      </c>
      <c r="C29" s="16" t="s">
        <v>9</v>
      </c>
      <c r="D29" s="16" t="s">
        <v>11</v>
      </c>
      <c r="E29" s="16" t="s">
        <v>21</v>
      </c>
      <c r="F29" s="20" t="s">
        <v>12</v>
      </c>
      <c r="G29" s="17"/>
      <c r="H29" s="18"/>
      <c r="I29" s="26"/>
      <c r="J29" s="25">
        <f t="shared" si="0"/>
        <v>0</v>
      </c>
    </row>
    <row r="30" spans="1:10" ht="112.5" x14ac:dyDescent="0.25">
      <c r="A30" s="21">
        <f>ROW() - 22</f>
        <v>8</v>
      </c>
      <c r="B30" s="51" t="s">
        <v>5</v>
      </c>
      <c r="C30" s="16" t="s">
        <v>9</v>
      </c>
      <c r="D30" s="16" t="s">
        <v>11</v>
      </c>
      <c r="E30" s="16" t="s">
        <v>21</v>
      </c>
      <c r="F30" s="20" t="s">
        <v>12</v>
      </c>
      <c r="G30" s="17"/>
      <c r="H30" s="18"/>
      <c r="I30" s="26"/>
      <c r="J30" s="25">
        <f t="shared" si="0"/>
        <v>0</v>
      </c>
    </row>
    <row r="31" spans="1:10" ht="93.75" x14ac:dyDescent="0.25">
      <c r="A31" s="21">
        <f>ROW() - 22</f>
        <v>9</v>
      </c>
      <c r="B31" s="51" t="s">
        <v>13</v>
      </c>
      <c r="C31" s="16" t="s">
        <v>14</v>
      </c>
      <c r="D31" s="16" t="s">
        <v>15</v>
      </c>
      <c r="E31" s="16" t="s">
        <v>22</v>
      </c>
      <c r="F31" s="20" t="s">
        <v>12</v>
      </c>
      <c r="G31" s="17"/>
      <c r="H31" s="18"/>
      <c r="I31" s="26"/>
      <c r="J31" s="25">
        <f t="shared" ref="J31:J37" si="1">G31*I31</f>
        <v>0</v>
      </c>
    </row>
    <row r="32" spans="1:10" ht="168.75" x14ac:dyDescent="0.25">
      <c r="A32" s="21">
        <f>ROW() - 22</f>
        <v>10</v>
      </c>
      <c r="B32" s="51" t="s">
        <v>20</v>
      </c>
      <c r="C32" s="16" t="s">
        <v>23</v>
      </c>
      <c r="D32" s="16" t="s">
        <v>24</v>
      </c>
      <c r="E32" s="16" t="s">
        <v>25</v>
      </c>
      <c r="F32" s="20" t="s">
        <v>12</v>
      </c>
      <c r="G32" s="17"/>
      <c r="H32" s="18"/>
      <c r="I32" s="26"/>
      <c r="J32" s="25">
        <f t="shared" si="1"/>
        <v>0</v>
      </c>
    </row>
    <row r="33" spans="1:10" ht="75" x14ac:dyDescent="0.25">
      <c r="A33" s="21">
        <f>ROW() - 22</f>
        <v>11</v>
      </c>
      <c r="B33" s="51">
        <v>100063889</v>
      </c>
      <c r="C33" s="16" t="s">
        <v>60</v>
      </c>
      <c r="D33" s="16" t="s">
        <v>59</v>
      </c>
      <c r="E33" s="16" t="s">
        <v>58</v>
      </c>
      <c r="F33" s="20" t="s">
        <v>12</v>
      </c>
      <c r="G33" s="17"/>
      <c r="H33" s="18"/>
      <c r="I33" s="26"/>
      <c r="J33" s="25">
        <f t="shared" si="1"/>
        <v>0</v>
      </c>
    </row>
    <row r="34" spans="1:10" ht="150" x14ac:dyDescent="0.25">
      <c r="A34" s="21">
        <f>ROW() - 22</f>
        <v>12</v>
      </c>
      <c r="B34" s="51" t="s">
        <v>16</v>
      </c>
      <c r="C34" s="16" t="s">
        <v>17</v>
      </c>
      <c r="D34" s="16" t="s">
        <v>18</v>
      </c>
      <c r="E34" s="16" t="s">
        <v>19</v>
      </c>
      <c r="F34" s="20" t="s">
        <v>12</v>
      </c>
      <c r="G34" s="17"/>
      <c r="H34" s="18"/>
      <c r="I34" s="26"/>
      <c r="J34" s="25">
        <f t="shared" si="1"/>
        <v>0</v>
      </c>
    </row>
    <row r="35" spans="1:10" ht="112.5" x14ac:dyDescent="0.25">
      <c r="A35" s="21">
        <f>ROW() - 22</f>
        <v>13</v>
      </c>
      <c r="B35" s="15" t="s">
        <v>5</v>
      </c>
      <c r="C35" s="16" t="s">
        <v>9</v>
      </c>
      <c r="D35" s="16" t="s">
        <v>11</v>
      </c>
      <c r="E35" s="16" t="s">
        <v>21</v>
      </c>
      <c r="F35" s="20" t="s">
        <v>12</v>
      </c>
      <c r="G35" s="17"/>
      <c r="H35" s="18"/>
      <c r="I35" s="26"/>
      <c r="J35" s="25">
        <f t="shared" si="1"/>
        <v>0</v>
      </c>
    </row>
    <row r="36" spans="1:10" ht="112.5" x14ac:dyDescent="0.25">
      <c r="A36" s="21">
        <f>ROW() - 22</f>
        <v>14</v>
      </c>
      <c r="B36" s="15" t="s">
        <v>5</v>
      </c>
      <c r="C36" s="16" t="s">
        <v>9</v>
      </c>
      <c r="D36" s="16" t="s">
        <v>11</v>
      </c>
      <c r="E36" s="16" t="s">
        <v>21</v>
      </c>
      <c r="F36" s="20" t="s">
        <v>12</v>
      </c>
      <c r="G36" s="17"/>
      <c r="H36" s="18"/>
      <c r="I36" s="26"/>
      <c r="J36" s="25">
        <f t="shared" si="1"/>
        <v>0</v>
      </c>
    </row>
    <row r="37" spans="1:10" ht="112.5" x14ac:dyDescent="0.25">
      <c r="A37" s="21">
        <f>ROW() - 22</f>
        <v>15</v>
      </c>
      <c r="B37" s="15" t="s">
        <v>5</v>
      </c>
      <c r="C37" s="16" t="s">
        <v>9</v>
      </c>
      <c r="D37" s="16" t="s">
        <v>11</v>
      </c>
      <c r="E37" s="16" t="s">
        <v>21</v>
      </c>
      <c r="F37" s="20" t="s">
        <v>12</v>
      </c>
      <c r="G37" s="17"/>
      <c r="H37" s="18"/>
      <c r="I37" s="26"/>
      <c r="J37" s="25">
        <f t="shared" si="1"/>
        <v>0</v>
      </c>
    </row>
    <row r="38" spans="1:10" x14ac:dyDescent="0.25">
      <c r="A38" s="21">
        <f>ROW() - 22</f>
        <v>16</v>
      </c>
      <c r="B38" s="15" t="s">
        <v>6</v>
      </c>
      <c r="C38" s="16" t="s">
        <v>56</v>
      </c>
      <c r="D38" s="16"/>
      <c r="E38" s="16"/>
      <c r="F38" s="20" t="s">
        <v>12</v>
      </c>
      <c r="G38" s="17">
        <v>1</v>
      </c>
      <c r="H38" s="18">
        <v>45646</v>
      </c>
      <c r="I38" s="26">
        <v>11650.25</v>
      </c>
      <c r="J38" s="25">
        <f t="shared" ref="J38" si="2">G38*I38</f>
        <v>11650.25</v>
      </c>
    </row>
    <row r="39" spans="1:10" x14ac:dyDescent="0.25">
      <c r="A39" s="21">
        <f>ROW() - 22</f>
        <v>17</v>
      </c>
      <c r="B39" s="15" t="s">
        <v>7</v>
      </c>
      <c r="C39" s="16" t="s">
        <v>57</v>
      </c>
      <c r="D39" s="16"/>
      <c r="E39" s="16"/>
      <c r="F39" s="20" t="s">
        <v>12</v>
      </c>
      <c r="G39" s="17">
        <v>1</v>
      </c>
      <c r="H39" s="18">
        <v>45646</v>
      </c>
      <c r="I39" s="26">
        <v>33606.25</v>
      </c>
      <c r="J39" s="25">
        <f t="shared" ref="J39" si="3">G39*I39</f>
        <v>33606.25</v>
      </c>
    </row>
    <row r="40" spans="1:10" x14ac:dyDescent="0.25">
      <c r="A40" s="42" t="s">
        <v>70</v>
      </c>
      <c r="B40" s="43"/>
      <c r="C40" s="43"/>
      <c r="D40" s="43"/>
      <c r="E40" s="43"/>
      <c r="F40" s="43"/>
      <c r="G40" s="44" t="s">
        <v>3</v>
      </c>
      <c r="H40" s="45"/>
      <c r="I40" s="46"/>
      <c r="J40" s="30">
        <f ca="1">SUM(J23:INDIRECT("J" &amp; ROW()-1))</f>
        <v>120120.5</v>
      </c>
    </row>
  </sheetData>
  <mergeCells count="23">
    <mergeCell ref="A40:F40"/>
    <mergeCell ref="G40:I40"/>
    <mergeCell ref="G16:H16"/>
    <mergeCell ref="G17:H17"/>
    <mergeCell ref="G18:H18"/>
    <mergeCell ref="G19:H19"/>
    <mergeCell ref="G20:H20"/>
    <mergeCell ref="G1:H1"/>
    <mergeCell ref="G2:H2"/>
    <mergeCell ref="D13:E13"/>
    <mergeCell ref="F7:J7"/>
    <mergeCell ref="F8:J8"/>
    <mergeCell ref="D7:E7"/>
    <mergeCell ref="D8:E8"/>
    <mergeCell ref="D9:E9"/>
    <mergeCell ref="D10:E10"/>
    <mergeCell ref="D11:E11"/>
    <mergeCell ref="D12:E12"/>
    <mergeCell ref="F9:J9"/>
    <mergeCell ref="F10:J10"/>
    <mergeCell ref="F11:J11"/>
    <mergeCell ref="F12:J12"/>
    <mergeCell ref="F13:J13"/>
  </mergeCells>
  <printOptions horizontalCentered="1"/>
  <pageMargins left="0.31496062992125984" right="0.31496062992125984" top="0.74803149606299213" bottom="0.74803149606299213" header="0.31496062992125984" footer="0.31496062992125984"/>
  <pageSetup scale="55" fitToHeight="0" orientation="portrait" r:id="rId1"/>
  <headerFooter>
    <oddHeader xml:space="preserve">&amp;R&amp;"-,Bold"&amp;32PURCHASE ORDER            &amp;K00+000a&amp;K01+000   </oddHeader>
    <oddFooter xml:space="preserve">&amp;L&amp;14    Special Instructions:
&amp;C&amp;14Authorization:         &amp;K01+036_____________________________________&amp;K01+000
&amp;R&amp;14
Page &amp;P of &amp;N      &amp;K00+000aa
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3FF2F-34AB-46DD-94B4-C88FB1572497}">
  <sheetPr codeName="Sheet2"/>
  <dimension ref="A1:G6"/>
  <sheetViews>
    <sheetView workbookViewId="0">
      <selection activeCell="F3" sqref="F3"/>
    </sheetView>
  </sheetViews>
  <sheetFormatPr defaultRowHeight="15" x14ac:dyDescent="0.25"/>
  <cols>
    <col min="1" max="1" width="20.7109375" style="49" customWidth="1"/>
    <col min="2" max="2" width="25.5703125" style="48" customWidth="1"/>
    <col min="3" max="4" width="50.5703125" customWidth="1"/>
    <col min="5" max="5" width="17.28515625" customWidth="1"/>
    <col min="6" max="6" width="13.42578125" customWidth="1"/>
    <col min="7" max="7" width="19.5703125" customWidth="1"/>
  </cols>
  <sheetData>
    <row r="1" spans="1:7" s="50" customFormat="1" ht="18.75" x14ac:dyDescent="0.25">
      <c r="A1" s="52" t="s">
        <v>66</v>
      </c>
      <c r="B1" s="53" t="s">
        <v>8</v>
      </c>
      <c r="C1" s="54" t="s">
        <v>10</v>
      </c>
      <c r="D1" s="54" t="s">
        <v>0</v>
      </c>
      <c r="E1" s="54" t="s">
        <v>65</v>
      </c>
      <c r="F1" s="54" t="s">
        <v>64</v>
      </c>
      <c r="G1" s="54" t="s">
        <v>63</v>
      </c>
    </row>
    <row r="2" spans="1:7" ht="75" x14ac:dyDescent="0.25">
      <c r="A2" s="51" t="s">
        <v>5</v>
      </c>
      <c r="B2" s="16" t="s">
        <v>9</v>
      </c>
      <c r="C2" s="16" t="s">
        <v>11</v>
      </c>
      <c r="D2" s="16" t="s">
        <v>21</v>
      </c>
      <c r="E2" s="17" t="s">
        <v>12</v>
      </c>
      <c r="F2" s="24" t="s">
        <v>62</v>
      </c>
      <c r="G2" s="24" t="s">
        <v>61</v>
      </c>
    </row>
    <row r="3" spans="1:7" ht="93.75" x14ac:dyDescent="0.25">
      <c r="A3" s="51" t="s">
        <v>13</v>
      </c>
      <c r="B3" s="16" t="s">
        <v>14</v>
      </c>
      <c r="C3" s="16" t="s">
        <v>15</v>
      </c>
      <c r="D3" s="16" t="s">
        <v>22</v>
      </c>
      <c r="E3" s="17" t="s">
        <v>12</v>
      </c>
      <c r="F3" s="4"/>
      <c r="G3" s="4"/>
    </row>
    <row r="4" spans="1:7" ht="131.25" x14ac:dyDescent="0.25">
      <c r="A4" s="51" t="s">
        <v>20</v>
      </c>
      <c r="B4" s="16" t="s">
        <v>23</v>
      </c>
      <c r="C4" s="16" t="s">
        <v>24</v>
      </c>
      <c r="D4" s="16" t="s">
        <v>25</v>
      </c>
      <c r="E4" s="16" t="s">
        <v>12</v>
      </c>
      <c r="F4" s="4"/>
      <c r="G4" s="4"/>
    </row>
    <row r="5" spans="1:7" ht="56.25" x14ac:dyDescent="0.25">
      <c r="A5" s="51">
        <v>100063889</v>
      </c>
      <c r="B5" s="16" t="s">
        <v>60</v>
      </c>
      <c r="C5" s="16" t="s">
        <v>59</v>
      </c>
      <c r="D5" s="16" t="s">
        <v>58</v>
      </c>
      <c r="E5" s="16" t="s">
        <v>12</v>
      </c>
      <c r="F5" s="4"/>
      <c r="G5" s="4"/>
    </row>
    <row r="6" spans="1:7" ht="93.75" x14ac:dyDescent="0.25">
      <c r="A6" s="51" t="s">
        <v>16</v>
      </c>
      <c r="B6" s="16" t="s">
        <v>17</v>
      </c>
      <c r="C6" s="16" t="s">
        <v>18</v>
      </c>
      <c r="D6" s="16" t="s">
        <v>19</v>
      </c>
      <c r="E6" s="16" t="s">
        <v>12</v>
      </c>
      <c r="F6" s="4"/>
      <c r="G6" s="4"/>
    </row>
  </sheetData>
  <autoFilter ref="A1:F6" xr:uid="{06FBD7E5-D0ED-4253-BD70-4CB831F3A8BF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 Order</vt:lpstr>
      <vt:lpstr>Item Database</vt:lpstr>
      <vt:lpstr>'Purchase Order'!Print_Titles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Barron, Jorge</dc:creator>
  <cp:lastModifiedBy>Kusiolek, Nathaniel</cp:lastModifiedBy>
  <cp:lastPrinted>2025-07-30T21:07:52Z</cp:lastPrinted>
  <dcterms:created xsi:type="dcterms:W3CDTF">2024-12-10T22:36:03Z</dcterms:created>
  <dcterms:modified xsi:type="dcterms:W3CDTF">2025-08-05T15:47:23Z</dcterms:modified>
</cp:coreProperties>
</file>